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alculator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Pricing Calc</author>
  </authors>
  <commentList>
    <comment ref="B7" authorId="0">
      <text>
        <r>
          <rPr>
            <sz val="10"/>
            <rFont val="Arial"/>
            <family val="2"/>
          </rPr>
          <t xml:space="preserve">INPUT CELL — change this to re-run the calculator for a different headcount.</t>
        </r>
      </text>
    </comment>
    <comment ref="B10" authorId="0">
      <text>
        <r>
          <rPr>
            <sz val="10"/>
            <rFont val="Arial"/>
            <family val="2"/>
          </rPr>
          <t xml:space="preserve">Source: odoo.com/pricing, Custom plan, Year-1 promotional rate for new customers who commit annually. Verified live Aug 27, 2026. OPTIONAL — we don't have to use this; see B13 toggle. Deal can run flat at the Year 2+ rate from day one if that's cleaner to present.</t>
        </r>
      </text>
    </comment>
    <comment ref="B11" authorId="0">
      <text>
        <r>
          <rPr>
            <sz val="10"/>
            <rFont val="Arial"/>
            <family val="2"/>
          </rPr>
          <t xml:space="preserve">Source: odoo.com/pricing, Custom plan, steady-state rate. Verified live Aug 27, 2026. Used for every year if the Year-1 promo (B13) is turned off.</t>
        </r>
      </text>
    </comment>
    <comment ref="B12" authorId="0">
      <text>
        <r>
          <rPr>
            <sz val="10"/>
            <rFont val="Arial"/>
            <family val="2"/>
          </rPr>
          <t xml:space="preserve">Source: odoo.com/pricing, Custom plan retail/list rate, no annual commitment. Verified live Aug 27, 2026.</t>
        </r>
      </text>
    </comment>
    <comment ref="B13" authorId="0">
      <text>
        <r>
          <rPr>
            <sz val="10"/>
            <rFont val="Arial"/>
            <family val="2"/>
          </rPr>
          <t xml:space="preserve">INPUT CELL — the $49 Year-1 rate is optional, not required. Set to 0 to quote flat at $61/user/month from Year 1 (simpler story, no step-up in Year 2). Set to 1 to use the promo.</t>
        </r>
      </text>
    </comment>
    <comment ref="B29" authorId="0">
      <text>
        <r>
          <rPr>
            <sz val="10"/>
            <rFont val="Arial"/>
            <family val="2"/>
          </rPr>
          <t xml:space="preserve">INPUT CELL — replace with actual SOW hours.</t>
        </r>
      </text>
    </comment>
    <comment ref="C21" authorId="0">
      <text>
        <r>
          <rPr>
            <sz val="10"/>
            <rFont val="Arial"/>
            <family val="2"/>
          </rPr>
          <t xml:space="preserve">ASSUMPTION — not published on odoo.com; carried from the internal 2024 calculator and confirmed internally consistent (increases monotonically with term). Reconfirm with Jogr/sales ops before quoting.</t>
        </r>
      </text>
    </comment>
    <comment ref="C28" authorId="0">
      <text>
        <r>
          <rPr>
            <sz val="10"/>
            <rFont val="Arial"/>
            <family val="2"/>
          </rPr>
          <t xml:space="preserve">Source: odoo.com/pricing-packs, Returning Customer rate. Verified live Aug 27, 2026.</t>
        </r>
      </text>
    </comment>
    <comment ref="C29" authorId="0">
      <text>
        <r>
          <rPr>
            <sz val="10"/>
            <rFont val="Arial"/>
            <family val="2"/>
          </rPr>
          <t xml:space="preserve">Source: odoo.com/pricing-packs, Returning Customer rate. Verified live Aug 27, 2026.</t>
        </r>
      </text>
    </comment>
    <comment ref="D21" authorId="0">
      <text>
        <r>
          <rPr>
            <sz val="10"/>
            <rFont val="Arial"/>
            <family val="2"/>
          </rPr>
          <t xml:space="preserve">ASSUMPTION — not published on odoo.com; carried from the internal 2024 calculator and confirmed internally consistent (increases monotonically with term). Reconfirm with Jogr/sales ops before quoting.</t>
        </r>
      </text>
    </comment>
    <comment ref="D28" authorId="0">
      <text>
        <r>
          <rPr>
            <sz val="10"/>
            <rFont val="Arial"/>
            <family val="2"/>
          </rPr>
          <t xml:space="preserve">ASSUMPTION — 30% shown here is a typical starting point for rep discretion on the first 100 implementation hours, not a hard cap. Reps can go higher at their discretion depending on the deal; edit this cell for what's actually being offered. Not published by Odoo, and independent of the multi-year licensing discount above.</t>
        </r>
      </text>
    </comment>
    <comment ref="D29" authorId="0">
      <text>
        <r>
          <rPr>
            <sz val="10"/>
            <rFont val="Arial"/>
            <family val="2"/>
          </rPr>
          <t xml:space="preserve">ASSUMPTION — 30% shown here is a typical starting point for rep discretion on the first 100 implementation hours, not a hard cap. Reps can go higher at their discretion depending on the deal; edit this cell for what's actually being offered. Not published by Odoo, and independent of the multi-year licensing discount above.</t>
        </r>
      </text>
    </comment>
    <comment ref="E21" authorId="0">
      <text>
        <r>
          <rPr>
            <sz val="10"/>
            <rFont val="Arial"/>
            <family val="2"/>
          </rPr>
          <t xml:space="preserve">ASSUMPTION — not published on odoo.com; carried from the internal 2024 calculator and confirmed internally consistent (increases monotonically with term). Reconfirm with Jogr/sales ops before quoting.</t>
        </r>
      </text>
    </comment>
    <comment ref="F21" authorId="0">
      <text>
        <r>
          <rPr>
            <sz val="10"/>
            <rFont val="Arial"/>
            <family val="2"/>
          </rPr>
          <t xml:space="preserve">ASSUMPTION — not published on odoo.com; carried from the internal 2024 calculator and confirmed internally consistent (increases monotonically with term). Reconfirm with Jogr/sales ops before quoting.</t>
        </r>
      </text>
    </comment>
    <comment ref="G21" authorId="0">
      <text>
        <r>
          <rPr>
            <sz val="10"/>
            <rFont val="Arial"/>
            <family val="2"/>
          </rPr>
          <t xml:space="preserve">ASSUMPTION — not published on odoo.com; carried from the internal 2024 calculator and confirmed internally consistent (increases monotonically with term). Reconfirm with Jogr/sales ops before quoting.</t>
        </r>
      </text>
    </comment>
  </commentList>
</comments>
</file>

<file path=xl/sharedStrings.xml><?xml version="1.0" encoding="utf-8"?>
<sst xmlns="http://schemas.openxmlformats.org/spreadsheetml/2006/main" count="42" uniqueCount="42">
  <si>
    <t xml:space="preserve">ODOO PRICING CALCULATOR — 2026 (verified vs. odoo.com)</t>
  </si>
  <si>
    <t xml:space="preserve">Format follows the 2024 calculator layout. Source rates checked live against odoo.com/pricing and odoo.com/pricing-packs, Aug 27, 2026.</t>
  </si>
  <si>
    <t xml:space="preserve">PROJECT INFORMATION</t>
  </si>
  <si>
    <t xml:space="preserve">Pricelist</t>
  </si>
  <si>
    <t xml:space="preserve">North America</t>
  </si>
  <si>
    <t xml:space="preserve">Plan</t>
  </si>
  <si>
    <t xml:space="preserve">Custom (Enterprise)</t>
  </si>
  <si>
    <t xml:space="preserve">Total Users</t>
  </si>
  <si>
    <t xml:space="preserve">PRICING (per user / month)</t>
  </si>
  <si>
    <t xml:space="preserve">Yearly-Commit, Year 1 (optional promo)</t>
  </si>
  <si>
    <t xml:space="preserve">Yearly-Commit, Year 2+ (steady rate)</t>
  </si>
  <si>
    <t xml:space="preserve">Pay-Monthly / No Commitment</t>
  </si>
  <si>
    <t xml:space="preserve">Use Year-1 Promo? (1=Yes, 0=No)</t>
  </si>
  <si>
    <t xml:space="preserve">Note: the 2024 calculator's per-user figures ($37.40/$46.70 yearly, $46.80/$58.40 monthly) are from a prior pricing cycle and no longer match odoo.com. This sheet uses current, verified rates. The Year-1 promo (B10) is a lever, not a requirement — toggle B13 to quote flat at $61 from day one instead.</t>
  </si>
  <si>
    <t xml:space="preserve">PROJECT COSTS — LICENSING</t>
  </si>
  <si>
    <t xml:space="preserve">Monthly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</si>
  <si>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</si>
  <si>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</si>
  <si>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</si>
  <si>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</si>
  <si>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</si>
  <si>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Year 1 Rate (promo or steady, per B13) x Users x 12</t>
  </si>
  <si>
    <t xml:space="preserve">Year 2+ Rate x Users x 12 x (Term-1)</t>
  </si>
  <si>
    <t xml:space="preserve">TOTAL WITHOUT DISCOUNT</t>
  </si>
  <si>
    <t xml:space="preserve">Multi-Year Discount %</t>
  </si>
  <si>
    <t xml:space="preserve">Multi-Year Discount $</t>
  </si>
  <si>
    <t xml:space="preserve">TOTAL LICENSE COST</t>
  </si>
  <si>
    <t xml:space="preserve">Effective $/User/Month</t>
  </si>
  <si>
    <t xml:space="preserve">IMPLEMENTATION — SUCCESS PACK RATES (odoo.com/pricing-packs, verified)</t>
  </si>
  <si>
    <t xml:space="preserve">Hours</t>
  </si>
  <si>
    <t xml:space="preserve">List $/hr</t>
  </si>
  <si>
    <t xml:space="preserve">Rep Discount (typical; adjustable)</t>
  </si>
  <si>
    <t xml:space="preserve">Discounted $/hr</t>
  </si>
  <si>
    <t xml:space="preserve">List Cost</t>
  </si>
  <si>
    <t xml:space="preserve">Discounted Cost</t>
  </si>
  <si>
    <t xml:space="preserve">Self-Implementation (Basic/25hr tier rate applies below 50)</t>
  </si>
  <si>
    <t xml:space="preserve">Full Implementation — 100hr tier (SOW)</t>
  </si>
  <si>
    <t xml:space="preserve">5-YEAR DEAL SUMMARY — LICENSE (5yr, discounted) + FULL IMPLEMENTATION (rep-discounted)</t>
  </si>
  <si>
    <t xml:space="preserve">5-Year License Total</t>
  </si>
  <si>
    <t xml:space="preserve">Full Implementation, Discounted (row 29)</t>
  </si>
  <si>
    <t xml:space="preserve">COMBINED TOTAL</t>
  </si>
  <si>
    <t xml:space="preserve">Effective Monthly (over 60 months)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</si>
</sst>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.00;&quot;($&quot;#,##0.00\);\-"/>
    <numFmt numFmtId="167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A3B69"/>
        <bgColor rgb="FFA05A8C"/>
      </patternFill>
    </fill>
    <fill>
      <patternFill patternType="solid">
        <fgColor rgb="FFE7D6E3"/>
        <bgColor rgb="FFD9D9D9"/>
      </patternFill>
    </fill>
    <fill>
      <patternFill patternType="solid">
        <fgColor rgb="FFDCE6F1"/>
        <bgColor rgb="FFD9D9D9"/>
      </patternFill>
    </fill>
    <fill>
      <patternFill patternType="solid">
        <fgColor rgb="FFA05A8C"/>
        <bgColor rgb="FF666699"/>
      </patternFill>
    </fill>
    <fill>
      <patternFill patternType="solid">
        <fgColor rgb="FFD9D9D9"/>
        <bgColor rgb="FFE7D6E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3B69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7D6E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A05A8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6" t="n">
        <v>5</v>
      </c>
    </row>
    <row r="9" customFormat="false" ht="15" hidden="false" customHeight="false" outlineLevel="0" collapsed="false">
      <c r="A9" s="3" t="s">
        <v>8</v>
      </c>
      <c r="B9" s="3"/>
      <c r="C9" s="3"/>
      <c r="D9" s="3"/>
    </row>
    <row r="10" customFormat="false" ht="15" hidden="false" customHeight="false" outlineLevel="0" collapsed="false">
      <c r="A10" s="4" t="s">
        <v>9</v>
      </c>
      <c r="B10" s="7" t="n">
        <v>49</v>
      </c>
    </row>
    <row r="11" customFormat="false" ht="15" hidden="false" customHeight="false" outlineLevel="0" collapsed="false">
      <c r="A11" s="4" t="s">
        <v>10</v>
      </c>
      <c r="B11" s="7" t="n">
        <v>61</v>
      </c>
    </row>
    <row r="12" customFormat="false" ht="15" hidden="false" customHeight="false" outlineLevel="0" collapsed="false">
      <c r="A12" s="4" t="s">
        <v>11</v>
      </c>
      <c r="B12" s="7" t="n">
        <v>76.2</v>
      </c>
    </row>
    <row r="13" customFormat="false" ht="15" hidden="false" customHeight="false" outlineLevel="0" collapsed="false">
      <c r="A13" s="4" t="s">
        <v>12</v>
      </c>
      <c r="B13" s="6" t="n">
        <v>1</v>
      </c>
    </row>
    <row r="14" customFormat="false" ht="15" hidden="false" customHeight="false" outlineLevel="0" collapsed="false">
      <c r="A14" s="8" t="s">
        <v>13</v>
      </c>
      <c r="B14" s="8"/>
      <c r="C14" s="8"/>
      <c r="D14" s="8"/>
      <c r="E14" s="8"/>
      <c r="F14" s="8"/>
      <c r="G14" s="8"/>
    </row>
    <row r="16" customFormat="false" ht="15" hidden="false" customHeight="false" outlineLevel="0" collapsed="false">
      <c r="A16" s="3" t="s">
        <v>14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9"/>
      <c r="B17" s="9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20</v>
      </c>
    </row>
    <row r="18" customFormat="false" ht="15" hidden="false" customHeight="false" outlineLevel="0" collapsed="false">
      <c r="A18" s="4" t="s">
        <v>21</v>
      </c>
      <c r="B18" s="10" t="n">
        <f aca="false">$B$12*$B$7*12</f>
        <v>4572</v>
      </c>
      <c r="C18" s="10" t="n">
        <f aca="false">IF($B$13=1,$B$10,$B$11)*$B$7*12</f>
        <v>2940</v>
      </c>
      <c r="D18" s="10" t="n">
        <f aca="false">IF($B$13=1,$B$10,$B$11)*$B$7*12</f>
        <v>2940</v>
      </c>
      <c r="E18" s="10" t="n">
        <f aca="false">IF($B$13=1,$B$10,$B$11)*$B$7*12</f>
        <v>2940</v>
      </c>
      <c r="F18" s="10" t="n">
        <f aca="false">IF($B$13=1,$B$10,$B$11)*$B$7*12</f>
        <v>2940</v>
      </c>
      <c r="G18" s="10" t="n">
        <f aca="false">IF($B$13=1,$B$10,$B$11)*$B$7*12</f>
        <v>2940</v>
      </c>
    </row>
    <row r="19" customFormat="false" ht="15" hidden="false" customHeight="false" outlineLevel="0" collapsed="false">
      <c r="A19" s="4" t="s">
        <v>22</v>
      </c>
      <c r="B19" s="10" t="n">
        <v>0</v>
      </c>
      <c r="C19" s="10" t="n">
        <f aca="false">$B$11*$B$7*12*(1-1)</f>
        <v>0</v>
      </c>
      <c r="D19" s="10" t="n">
        <f aca="false">$B$11*$B$7*12*(2-1)</f>
        <v>3660</v>
      </c>
      <c r="E19" s="10" t="n">
        <f aca="false">$B$11*$B$7*12*(3-1)</f>
        <v>7320</v>
      </c>
      <c r="F19" s="10" t="n">
        <f aca="false">$B$11*$B$7*12*(4-1)</f>
        <v>10980</v>
      </c>
      <c r="G19" s="10" t="n">
        <f aca="false">$B$11*$B$7*12*(5-1)</f>
        <v>14640</v>
      </c>
    </row>
    <row r="20" customFormat="false" ht="15" hidden="false" customHeight="false" outlineLevel="0" collapsed="false">
      <c r="A20" s="11" t="s">
        <v>23</v>
      </c>
      <c r="B20" s="10" t="n">
        <f aca="false">B18+B19</f>
        <v>4572</v>
      </c>
      <c r="C20" s="10" t="n">
        <f aca="false">C18+C19</f>
        <v>2940</v>
      </c>
      <c r="D20" s="10" t="n">
        <f aca="false">D18+D19</f>
        <v>6600</v>
      </c>
      <c r="E20" s="10" t="n">
        <f aca="false">E18+E19</f>
        <v>10260</v>
      </c>
      <c r="F20" s="10" t="n">
        <f aca="false">F18+F19</f>
        <v>13920</v>
      </c>
      <c r="G20" s="10" t="n">
        <f aca="false">G18+G19</f>
        <v>17580</v>
      </c>
    </row>
    <row r="21" customFormat="false" ht="15" hidden="false" customHeight="false" outlineLevel="0" collapsed="false">
      <c r="A21" s="4" t="s">
        <v>24</v>
      </c>
      <c r="B21" s="12" t="n">
        <v>0</v>
      </c>
      <c r="C21" s="13" t="n">
        <v>0</v>
      </c>
      <c r="D21" s="13" t="n">
        <v>0.05</v>
      </c>
      <c r="E21" s="13" t="n">
        <v>0.1</v>
      </c>
      <c r="F21" s="13" t="n">
        <v>0.13</v>
      </c>
      <c r="G21" s="13" t="n">
        <v>0.15</v>
      </c>
    </row>
    <row r="22" customFormat="false" ht="15" hidden="false" customHeight="false" outlineLevel="0" collapsed="false">
      <c r="A22" s="4" t="s">
        <v>25</v>
      </c>
      <c r="B22" s="10" t="n">
        <f aca="false">B20*B21</f>
        <v>0</v>
      </c>
      <c r="C22" s="10" t="n">
        <f aca="false">C20*C21</f>
        <v>0</v>
      </c>
      <c r="D22" s="10" t="n">
        <f aca="false">D20*D21</f>
        <v>330</v>
      </c>
      <c r="E22" s="10" t="n">
        <f aca="false">E20*E21</f>
        <v>1026</v>
      </c>
      <c r="F22" s="10" t="n">
        <f aca="false">F20*F21</f>
        <v>1809.6</v>
      </c>
      <c r="G22" s="10" t="n">
        <f aca="false">G20*G21</f>
        <v>2637</v>
      </c>
    </row>
    <row r="23" customFormat="false" ht="15" hidden="false" customHeight="false" outlineLevel="0" collapsed="false">
      <c r="A23" s="11" t="s">
        <v>26</v>
      </c>
      <c r="B23" s="14" t="n">
        <f aca="false">B20-B22</f>
        <v>4572</v>
      </c>
      <c r="C23" s="14" t="n">
        <f aca="false">C20-C22</f>
        <v>2940</v>
      </c>
      <c r="D23" s="14" t="n">
        <f aca="false">D20-D22</f>
        <v>6270</v>
      </c>
      <c r="E23" s="14" t="n">
        <f aca="false">E20-E22</f>
        <v>9234</v>
      </c>
      <c r="F23" s="14" t="n">
        <f aca="false">F20-F22</f>
        <v>12110.4</v>
      </c>
      <c r="G23" s="14" t="n">
        <f aca="false">G20-G22</f>
        <v>14943</v>
      </c>
    </row>
    <row r="24" customFormat="false" ht="15" hidden="false" customHeight="false" outlineLevel="0" collapsed="false">
      <c r="A24" s="11" t="s">
        <v>27</v>
      </c>
      <c r="B24" s="14" t="n">
        <f aca="false">B23/12</f>
        <v>381</v>
      </c>
      <c r="C24" s="14" t="n">
        <f aca="false">C23/(12*1)</f>
        <v>245</v>
      </c>
      <c r="D24" s="14" t="n">
        <f aca="false">D23/(12*2)</f>
        <v>261.25</v>
      </c>
      <c r="E24" s="14" t="n">
        <f aca="false">E23/(12*3)</f>
        <v>256.5</v>
      </c>
      <c r="F24" s="14" t="n">
        <f aca="false">F23/(12*4)</f>
        <v>252.3</v>
      </c>
      <c r="G24" s="14" t="n">
        <f aca="false">G23/(12*5)</f>
        <v>249.05</v>
      </c>
    </row>
    <row r="26" customFormat="false" ht="15" hidden="false" customHeight="false" outlineLevel="0" collapsed="false">
      <c r="A26" s="3" t="s">
        <v>28</v>
      </c>
      <c r="B26" s="3"/>
      <c r="C26" s="3"/>
      <c r="D26" s="3"/>
      <c r="E26" s="3"/>
      <c r="F26" s="3"/>
      <c r="G26" s="3"/>
      <c r="H26" s="3"/>
    </row>
    <row r="27" customFormat="false" ht="39.55" hidden="false" customHeight="false" outlineLevel="0" collapsed="false">
      <c r="A27" s="4"/>
      <c r="B27" s="9" t="s">
        <v>29</v>
      </c>
      <c r="C27" s="9" t="s">
        <v>30</v>
      </c>
      <c r="D27" s="15" t="s">
        <v>31</v>
      </c>
      <c r="E27" s="9" t="s">
        <v>32</v>
      </c>
      <c r="F27" s="9" t="s">
        <v>33</v>
      </c>
      <c r="G27" s="9" t="s">
        <v>34</v>
      </c>
    </row>
    <row r="28" customFormat="false" ht="15" hidden="false" customHeight="false" outlineLevel="0" collapsed="false">
      <c r="A28" s="4" t="s">
        <v>35</v>
      </c>
      <c r="B28" s="6" t="n">
        <v>50</v>
      </c>
      <c r="C28" s="7" t="n">
        <v>140</v>
      </c>
      <c r="D28" s="13" t="n">
        <v>0.3</v>
      </c>
      <c r="E28" s="10" t="n">
        <f aca="false">C28*(1-D28)</f>
        <v>98</v>
      </c>
      <c r="F28" s="10" t="n">
        <f aca="false">B28*C28</f>
        <v>7000</v>
      </c>
      <c r="G28" s="10" t="n">
        <f aca="false">B28*E28</f>
        <v>4900</v>
      </c>
    </row>
    <row r="29" customFormat="false" ht="15" hidden="false" customHeight="false" outlineLevel="0" collapsed="false">
      <c r="A29" s="4" t="s">
        <v>36</v>
      </c>
      <c r="B29" s="6" t="n">
        <v>100</v>
      </c>
      <c r="C29" s="7" t="n">
        <v>125</v>
      </c>
      <c r="D29" s="13" t="n">
        <v>0.3</v>
      </c>
      <c r="E29" s="10" t="n">
        <f aca="false">C29*(1-D29)</f>
        <v>87.5</v>
      </c>
      <c r="F29" s="10" t="n">
        <f aca="false">B29*C29</f>
        <v>12500</v>
      </c>
      <c r="G29" s="10" t="n">
        <f aca="false">B29*E29</f>
        <v>8750</v>
      </c>
    </row>
    <row r="31" customFormat="false" ht="15" hidden="false" customHeight="false" outlineLevel="0" collapsed="false">
      <c r="A31" s="3" t="s">
        <v>37</v>
      </c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4" t="s">
        <v>38</v>
      </c>
      <c r="B32" s="10" t="n">
        <f aca="false">G23</f>
        <v>14943</v>
      </c>
    </row>
    <row r="33" customFormat="false" ht="15" hidden="false" customHeight="false" outlineLevel="0" collapsed="false">
      <c r="A33" s="4" t="s">
        <v>39</v>
      </c>
      <c r="B33" s="10" t="n">
        <f aca="false">G29</f>
        <v>8750</v>
      </c>
    </row>
    <row r="34" customFormat="false" ht="15" hidden="false" customHeight="false" outlineLevel="0" collapsed="false">
      <c r="A34" s="11" t="s">
        <v>40</v>
      </c>
      <c r="B34" s="14" t="n">
        <f aca="false">B32+B33</f>
        <v>23693</v>
      </c>
    </row>
    <row r="35" customFormat="false" ht="15" hidden="false" customHeight="false" outlineLevel="0" collapsed="false">
      <c r="A35" s="11" t="s">
        <v>41</v>
      </c>
      <c r="B35" s="14" t="n">
        <f aca="false">B34/60</f>
        <v>394.883333333333</v>
      </c>
    </row>
  </sheetData>
  <mergeCells count="10">
    <mergeCell ref="A1:G1"/>
    <mergeCell ref="A2:G2"/>
    <mergeCell ref="A4:B4"/>
    <mergeCell ref="C4:D4"/>
    <mergeCell ref="A9:B9"/>
    <mergeCell ref="C9:D9"/>
    <mergeCell ref="A14:G14"/>
    <mergeCell ref="A16:H16"/>
    <mergeCell ref="A26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2026-08-27T15:24:54Z</dcterms:created>
  <dc:creator>openpyxl</dc:creator>
  <dc:description/>
  <dc:language>en-US</dc:language>
  <cp:lastModifiedBy/>
  <dcterms:modified xsi:type="dcterms:W3CDTF">2026-08-27T15:24:54Z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